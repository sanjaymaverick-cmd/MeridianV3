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GWAN\Downloads\"/>
    </mc:Choice>
  </mc:AlternateContent>
  <xr:revisionPtr revIDLastSave="0" documentId="13_ncr:1_{DE3D52FE-6A80-4E9E-8636-4B9D65E4D64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mbined Portfolio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3" i="1" l="1"/>
  <c r="E23" i="1" s="1"/>
  <c r="C23" i="1"/>
  <c r="B23" i="1"/>
  <c r="D22" i="1"/>
  <c r="E22" i="1" s="1"/>
  <c r="C22" i="1"/>
  <c r="B22" i="1"/>
  <c r="H18" i="1"/>
  <c r="I18" i="1" s="1"/>
  <c r="G18" i="1"/>
  <c r="E18" i="1"/>
</calcChain>
</file>

<file path=xl/sharedStrings.xml><?xml version="1.0" encoding="utf-8"?>
<sst xmlns="http://schemas.openxmlformats.org/spreadsheetml/2006/main" count="68" uniqueCount="45">
  <si>
    <t>Combined Portfolio Tracker — Zerodha Kite + ICICI Direct  |  As of 14 Aug 2026</t>
  </si>
  <si>
    <t>Broker</t>
  </si>
  <si>
    <t>Symbol</t>
  </si>
  <si>
    <t>Qty</t>
  </si>
  <si>
    <t>Avg Price</t>
  </si>
  <si>
    <t>Invested (₹)</t>
  </si>
  <si>
    <t>LTP (₹)</t>
  </si>
  <si>
    <t>Market Value (₹)</t>
  </si>
  <si>
    <t>Unrealized P&amp;L (₹)</t>
  </si>
  <si>
    <t>P&amp;L %</t>
  </si>
  <si>
    <t>Sector</t>
  </si>
  <si>
    <t>Zerodha Kite</t>
  </si>
  <si>
    <t>EIEL</t>
  </si>
  <si>
    <t>Engineering &amp; Capital Goods</t>
  </si>
  <si>
    <t>MOTHERSON</t>
  </si>
  <si>
    <t>Auto Ancillary</t>
  </si>
  <si>
    <t>STARBEAM-XT</t>
  </si>
  <si>
    <t>Fertilizers</t>
  </si>
  <si>
    <t>SWIGGY</t>
  </si>
  <si>
    <t>Services</t>
  </si>
  <si>
    <t>VAML</t>
  </si>
  <si>
    <t>Metals</t>
  </si>
  <si>
    <t>VEDL</t>
  </si>
  <si>
    <t>VEDPOWER</t>
  </si>
  <si>
    <t>Energy</t>
  </si>
  <si>
    <t>VIKRAN</t>
  </si>
  <si>
    <t>VISL</t>
  </si>
  <si>
    <t>VOGL</t>
  </si>
  <si>
    <t>ICICI Direct</t>
  </si>
  <si>
    <t>PARAS</t>
  </si>
  <si>
    <t>Defence</t>
  </si>
  <si>
    <t>ATLANTAELE</t>
  </si>
  <si>
    <t>Electrical Equipment</t>
  </si>
  <si>
    <t>STARBEAM</t>
  </si>
  <si>
    <t>Fertilizers / Micro-cap</t>
  </si>
  <si>
    <t>SWSOLAR</t>
  </si>
  <si>
    <t>Renewable Energy</t>
  </si>
  <si>
    <t>TOTAL</t>
  </si>
  <si>
    <t>Broker-wise Summary</t>
  </si>
  <si>
    <t>Notes</t>
  </si>
  <si>
    <t>• STARBEAM appears in both brokers with different quantities and average prices — kept as separate lots.</t>
  </si>
  <si>
    <t>• LTP and Market Value for ICICI positions taken from the screenshots you shared (14 Aug 2026).</t>
  </si>
  <si>
    <t>• You can add a live price column later using =GOOGLEFINANCE("NSE:"&amp;B4) in Google Sheets for most symbols.</t>
  </si>
  <si>
    <t>• Update LTP column manually or via formulas when you refresh prices. P&amp;L and totals will recalculate automatically.</t>
  </si>
  <si>
    <t>• Data sources: Zerodha Kite holdings statement (Client OUM828) + ICICI Direct app screenshots.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</si>
</sst>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1F4E79"/>
      <name val="Arial"/>
      <charset val="1"/>
    </font>
    <font>
      <b/>
      <sz val="11"/>
      <name val="Arial"/>
      <charset val="1"/>
    </font>
    <font>
      <sz val="9"/>
      <color rgb="FF555555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C7CE"/>
        <bgColor rgb="FFCCCCFF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/>
    <xf numFmtId="0" fontId="0" fillId="5" borderId="1" xfId="0" applyFill="1" applyBorder="1"/>
    <xf numFmtId="4" fontId="4" fillId="5" borderId="1" xfId="0" applyNumberFormat="1" applyFont="1" applyFill="1" applyBorder="1"/>
    <xf numFmtId="10" fontId="4" fillId="5" borderId="1" xfId="0" applyNumberFormat="1" applyFont="1" applyFill="1" applyBorder="1"/>
    <xf numFmtId="0" fontId="5" fillId="0" borderId="0" xfId="0" applyFont="1"/>
    <xf numFmtId="0" fontId="3" fillId="0" borderId="1" xfId="0" applyFont="1" applyBorder="1"/>
    <xf numFmtId="4" fontId="3" fillId="0" borderId="1" xfId="0" applyNumberFormat="1" applyFont="1" applyBorder="1"/>
    <xf numFmtId="10" fontId="3" fillId="0" borderId="1" xfId="0" applyNumberFormat="1" applyFont="1" applyBorder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2" width="14" customWidth="1"/>
    <col min="3" max="3" width="8" customWidth="1"/>
    <col min="4" max="4" width="12" customWidth="1"/>
    <col min="5" max="5" width="14" customWidth="1"/>
    <col min="6" max="6" width="12" customWidth="1"/>
    <col min="7" max="8" width="16" customWidth="1"/>
    <col min="9" max="9" width="10" customWidth="1"/>
    <col min="10" max="10" width="28" customWidth="1"/>
  </cols>
  <sheetData>
    <row r="1" spans="1:10" ht="27.7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ht="31.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3">
      <c r="A4" s="3" t="s">
        <v>11</v>
      </c>
      <c r="B4" s="3" t="s">
        <v>12</v>
      </c>
      <c r="C4" s="4">
        <v>400</v>
      </c>
      <c r="D4" s="5">
        <v>223.02379999999999</v>
      </c>
      <c r="E4" s="5">
        <v>89209.52</v>
      </c>
      <c r="F4" s="5">
        <v>203.2</v>
      </c>
      <c r="G4" s="5">
        <v>81280</v>
      </c>
      <c r="H4" s="6">
        <v>-7929.5</v>
      </c>
      <c r="I4" s="7">
        <v>-8.8900000000000007E-2</v>
      </c>
      <c r="J4" s="3" t="s">
        <v>13</v>
      </c>
    </row>
    <row r="5" spans="1:10" x14ac:dyDescent="0.3">
      <c r="A5" s="3" t="s">
        <v>11</v>
      </c>
      <c r="B5" s="3" t="s">
        <v>14</v>
      </c>
      <c r="C5" s="4">
        <v>100</v>
      </c>
      <c r="D5" s="5">
        <v>97.92</v>
      </c>
      <c r="E5" s="5">
        <v>9792</v>
      </c>
      <c r="F5" s="5">
        <v>167.4</v>
      </c>
      <c r="G5" s="5">
        <v>16740</v>
      </c>
      <c r="H5" s="8">
        <v>6948</v>
      </c>
      <c r="I5" s="7">
        <v>0.70960000000000001</v>
      </c>
      <c r="J5" s="3" t="s">
        <v>15</v>
      </c>
    </row>
    <row r="6" spans="1:10" x14ac:dyDescent="0.3">
      <c r="A6" s="3" t="s">
        <v>11</v>
      </c>
      <c r="B6" s="3" t="s">
        <v>16</v>
      </c>
      <c r="C6" s="4">
        <v>3500</v>
      </c>
      <c r="D6" s="5">
        <v>2.39</v>
      </c>
      <c r="E6" s="5">
        <v>8365</v>
      </c>
      <c r="F6" s="5">
        <v>1.27</v>
      </c>
      <c r="G6" s="5">
        <v>4445</v>
      </c>
      <c r="H6" s="6">
        <v>-3920</v>
      </c>
      <c r="I6" s="7">
        <v>-0.46860000000000002</v>
      </c>
      <c r="J6" s="3" t="s">
        <v>17</v>
      </c>
    </row>
    <row r="7" spans="1:10" x14ac:dyDescent="0.3">
      <c r="A7" s="3" t="s">
        <v>11</v>
      </c>
      <c r="B7" s="3" t="s">
        <v>18</v>
      </c>
      <c r="C7" s="4">
        <v>100</v>
      </c>
      <c r="D7" s="5">
        <v>452.85</v>
      </c>
      <c r="E7" s="5">
        <v>45285</v>
      </c>
      <c r="F7" s="5">
        <v>281</v>
      </c>
      <c r="G7" s="5">
        <v>28100</v>
      </c>
      <c r="H7" s="6">
        <v>-17185</v>
      </c>
      <c r="I7" s="7">
        <v>-0.3795</v>
      </c>
      <c r="J7" s="3" t="s">
        <v>19</v>
      </c>
    </row>
    <row r="8" spans="1:10" x14ac:dyDescent="0.3">
      <c r="A8" s="3" t="s">
        <v>11</v>
      </c>
      <c r="B8" s="3" t="s">
        <v>20</v>
      </c>
      <c r="C8" s="4">
        <v>50</v>
      </c>
      <c r="D8" s="5">
        <v>31.384899999999998</v>
      </c>
      <c r="E8" s="5">
        <v>1569.2449999999999</v>
      </c>
      <c r="F8" s="5">
        <v>450.65</v>
      </c>
      <c r="G8" s="5">
        <v>22532.5</v>
      </c>
      <c r="H8" s="8">
        <v>20963.255000000001</v>
      </c>
      <c r="I8" s="7">
        <v>13.3588</v>
      </c>
      <c r="J8" s="3" t="s">
        <v>21</v>
      </c>
    </row>
    <row r="9" spans="1:10" x14ac:dyDescent="0.3">
      <c r="A9" s="3" t="s">
        <v>11</v>
      </c>
      <c r="B9" s="3" t="s">
        <v>22</v>
      </c>
      <c r="C9" s="4">
        <v>262</v>
      </c>
      <c r="D9" s="5">
        <v>326.89769999999999</v>
      </c>
      <c r="E9" s="5">
        <v>85647.2</v>
      </c>
      <c r="F9" s="5">
        <v>271.10000000000002</v>
      </c>
      <c r="G9" s="5">
        <v>71028.2</v>
      </c>
      <c r="H9" s="6">
        <v>-14619</v>
      </c>
      <c r="I9" s="7">
        <v>-0.17069999999999999</v>
      </c>
      <c r="J9" s="3" t="s">
        <v>21</v>
      </c>
    </row>
    <row r="10" spans="1:10" x14ac:dyDescent="0.3">
      <c r="A10" s="3" t="s">
        <v>11</v>
      </c>
      <c r="B10" s="3" t="s">
        <v>23</v>
      </c>
      <c r="C10" s="4">
        <v>50</v>
      </c>
      <c r="D10" s="5">
        <v>53.683599999999998</v>
      </c>
      <c r="E10" s="5">
        <v>2684.18</v>
      </c>
      <c r="F10" s="5">
        <v>36.880000000000003</v>
      </c>
      <c r="G10" s="5">
        <v>1844</v>
      </c>
      <c r="H10" s="6">
        <v>-840.18</v>
      </c>
      <c r="I10" s="7">
        <v>-0.313</v>
      </c>
      <c r="J10" s="3" t="s">
        <v>24</v>
      </c>
    </row>
    <row r="11" spans="1:10" x14ac:dyDescent="0.3">
      <c r="A11" s="3" t="s">
        <v>11</v>
      </c>
      <c r="B11" s="3" t="s">
        <v>25</v>
      </c>
      <c r="C11" s="4">
        <v>100</v>
      </c>
      <c r="D11" s="5">
        <v>102.5395</v>
      </c>
      <c r="E11" s="5">
        <v>10253.950000000001</v>
      </c>
      <c r="F11" s="5">
        <v>65.180000000000007</v>
      </c>
      <c r="G11" s="5">
        <v>6518</v>
      </c>
      <c r="H11" s="6">
        <v>-3735.95</v>
      </c>
      <c r="I11" s="7">
        <v>-0.36430000000000001</v>
      </c>
      <c r="J11" s="3" t="s">
        <v>13</v>
      </c>
    </row>
    <row r="12" spans="1:10" x14ac:dyDescent="0.3">
      <c r="A12" s="3" t="s">
        <v>11</v>
      </c>
      <c r="B12" s="3" t="s">
        <v>26</v>
      </c>
      <c r="C12" s="4">
        <v>290</v>
      </c>
      <c r="D12" s="5">
        <v>32.449100000000001</v>
      </c>
      <c r="E12" s="5">
        <v>9410.24</v>
      </c>
      <c r="F12" s="5">
        <v>38.799999999999997</v>
      </c>
      <c r="G12" s="5">
        <v>11252</v>
      </c>
      <c r="H12" s="8">
        <v>1841.76</v>
      </c>
      <c r="I12" s="7">
        <v>0.19570000000000001</v>
      </c>
      <c r="J12" s="3" t="s">
        <v>21</v>
      </c>
    </row>
    <row r="13" spans="1:10" x14ac:dyDescent="0.3">
      <c r="A13" s="3" t="s">
        <v>11</v>
      </c>
      <c r="B13" s="3" t="s">
        <v>27</v>
      </c>
      <c r="C13" s="4">
        <v>550</v>
      </c>
      <c r="D13" s="5">
        <v>43.711799999999997</v>
      </c>
      <c r="E13" s="5">
        <v>24041.49</v>
      </c>
      <c r="F13" s="5">
        <v>37.86</v>
      </c>
      <c r="G13" s="5">
        <v>20823</v>
      </c>
      <c r="H13" s="6">
        <v>-3218.49</v>
      </c>
      <c r="I13" s="7">
        <v>-0.13389999999999999</v>
      </c>
      <c r="J13" s="3" t="s">
        <v>21</v>
      </c>
    </row>
    <row r="14" spans="1:10" x14ac:dyDescent="0.3">
      <c r="A14" s="3" t="s">
        <v>28</v>
      </c>
      <c r="B14" s="3" t="s">
        <v>29</v>
      </c>
      <c r="C14" s="4">
        <v>150</v>
      </c>
      <c r="D14" s="5">
        <v>1326.79</v>
      </c>
      <c r="E14" s="5">
        <v>199018.5</v>
      </c>
      <c r="F14" s="5">
        <v>1389.9</v>
      </c>
      <c r="G14" s="5">
        <v>208485</v>
      </c>
      <c r="H14" s="8">
        <v>9466.5</v>
      </c>
      <c r="I14" s="7">
        <v>4.7600000000000003E-2</v>
      </c>
      <c r="J14" s="3" t="s">
        <v>30</v>
      </c>
    </row>
    <row r="15" spans="1:10" x14ac:dyDescent="0.3">
      <c r="A15" s="3" t="s">
        <v>28</v>
      </c>
      <c r="B15" s="3" t="s">
        <v>31</v>
      </c>
      <c r="C15" s="4">
        <v>450</v>
      </c>
      <c r="D15" s="5">
        <v>2046.8</v>
      </c>
      <c r="E15" s="5">
        <v>921060</v>
      </c>
      <c r="F15" s="5">
        <v>1672.3</v>
      </c>
      <c r="G15" s="5">
        <v>752535</v>
      </c>
      <c r="H15" s="6">
        <v>-168525</v>
      </c>
      <c r="I15" s="7">
        <v>-0.183</v>
      </c>
      <c r="J15" s="3" t="s">
        <v>32</v>
      </c>
    </row>
    <row r="16" spans="1:10" x14ac:dyDescent="0.3">
      <c r="A16" s="3" t="s">
        <v>28</v>
      </c>
      <c r="B16" s="3" t="s">
        <v>33</v>
      </c>
      <c r="C16" s="4">
        <v>800</v>
      </c>
      <c r="D16" s="5">
        <v>3.44</v>
      </c>
      <c r="E16" s="5">
        <v>2752</v>
      </c>
      <c r="F16" s="5">
        <v>1.27</v>
      </c>
      <c r="G16" s="5">
        <v>1016</v>
      </c>
      <c r="H16" s="6">
        <v>-1736</v>
      </c>
      <c r="I16" s="7">
        <v>-0.63080000000000003</v>
      </c>
      <c r="J16" s="3" t="s">
        <v>34</v>
      </c>
    </row>
    <row r="17" spans="1:10" x14ac:dyDescent="0.3">
      <c r="A17" s="3" t="s">
        <v>28</v>
      </c>
      <c r="B17" s="3" t="s">
        <v>35</v>
      </c>
      <c r="C17" s="4">
        <v>1000</v>
      </c>
      <c r="D17" s="5">
        <v>254.35</v>
      </c>
      <c r="E17" s="5">
        <v>254350</v>
      </c>
      <c r="F17" s="5">
        <v>202.1</v>
      </c>
      <c r="G17" s="5">
        <v>202100</v>
      </c>
      <c r="H17" s="6">
        <v>-52250</v>
      </c>
      <c r="I17" s="7">
        <v>-0.2054</v>
      </c>
      <c r="J17" s="3" t="s">
        <v>36</v>
      </c>
    </row>
    <row r="18" spans="1:10" x14ac:dyDescent="0.3">
      <c r="A18" s="9" t="s">
        <v>37</v>
      </c>
      <c r="B18" s="10"/>
      <c r="C18" s="10"/>
      <c r="D18" s="10"/>
      <c r="E18" s="11">
        <f>SUM(E4:E17)</f>
        <v>1663438.325</v>
      </c>
      <c r="F18" s="10"/>
      <c r="G18" s="11">
        <f>SUM(G4:G17)</f>
        <v>1428698.7</v>
      </c>
      <c r="H18" s="11">
        <f>SUM(H4:H17)</f>
        <v>-234739.60500000001</v>
      </c>
      <c r="I18" s="12">
        <f>H18/E18</f>
        <v>-0.14111710754289614</v>
      </c>
      <c r="J18" s="10"/>
    </row>
    <row r="20" spans="1:10" ht="15.6" x14ac:dyDescent="0.3">
      <c r="A20" s="13" t="s">
        <v>38</v>
      </c>
    </row>
    <row r="21" spans="1:10" ht="41.4" x14ac:dyDescent="0.3">
      <c r="A21" s="2" t="s">
        <v>1</v>
      </c>
      <c r="B21" s="2" t="s">
        <v>5</v>
      </c>
      <c r="C21" s="2" t="s">
        <v>7</v>
      </c>
      <c r="D21" s="2" t="s">
        <v>8</v>
      </c>
      <c r="E21" s="2" t="s">
        <v>9</v>
      </c>
    </row>
    <row r="22" spans="1:10" x14ac:dyDescent="0.3">
      <c r="A22" s="14" t="s">
        <v>11</v>
      </c>
      <c r="B22" s="15">
        <f>SUMIF(A4:A17,"Zerodha Kite",E4:E17)</f>
        <v>286257.82500000001</v>
      </c>
      <c r="C22" s="15">
        <f>SUMIF(A4:A17,"Zerodha Kite",G4:G17)</f>
        <v>264562.7</v>
      </c>
      <c r="D22" s="15">
        <f>SUMIF(A4:A17,"Zerodha Kite",H4:H17)</f>
        <v>-21695.105000000003</v>
      </c>
      <c r="E22" s="16">
        <f>D22/B22</f>
        <v>-7.5788688047217584E-2</v>
      </c>
    </row>
    <row r="23" spans="1:10" x14ac:dyDescent="0.3">
      <c r="A23" s="14" t="s">
        <v>28</v>
      </c>
      <c r="B23" s="15">
        <f>SUMIF(A4:A17,"ICICI Direct",E4:E17)</f>
        <v>1377180.5</v>
      </c>
      <c r="C23" s="15">
        <f>SUMIF(A4:A17,"ICICI Direct",G4:G17)</f>
        <v>1164136</v>
      </c>
      <c r="D23" s="15">
        <f>SUMIF(A4:A17,"ICICI Direct",H4:H17)</f>
        <v>-213044.5</v>
      </c>
      <c r="E23" s="16">
        <f>D23/B23</f>
        <v>-0.15469613460254483</v>
      </c>
    </row>
    <row r="25" spans="1:10" x14ac:dyDescent="0.3">
      <c r="A25" s="17" t="s">
        <v>39</v>
      </c>
    </row>
    <row r="26" spans="1:10" x14ac:dyDescent="0.3">
      <c r="A26" s="18" t="s">
        <v>40</v>
      </c>
    </row>
    <row r="27" spans="1:10" x14ac:dyDescent="0.3">
      <c r="A27" s="18" t="s">
        <v>41</v>
      </c>
    </row>
    <row r="28" spans="1:10" x14ac:dyDescent="0.3">
      <c r="A28" s="18" t="s">
        <v>42</v>
      </c>
    </row>
    <row r="29" spans="1:10" x14ac:dyDescent="0.3">
      <c r="A29" s="18" t="s">
        <v>43</v>
      </c>
    </row>
    <row r="30" spans="1:10" x14ac:dyDescent="0.3">
      <c r="A30" s="18" t="s">
        <v>44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BHAGWAN</cp:lastModifiedBy>
  <cp:revision>0</cp:revision>
  <dcterms:created xsi:type="dcterms:W3CDTF">2026-08-14T06:19:12Z</dcterms:created>
  <dcterms:modified xsi:type="dcterms:W3CDTF">2026-08-14T06:20:20Z</dcterms:modified>
  <dc:language>en-US</dc:language>
</cp:coreProperties>
</file>